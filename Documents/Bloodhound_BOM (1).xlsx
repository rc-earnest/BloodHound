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odhound RCEV BOM" sheetId="1" r:id="rId4"/>
  </sheets>
  <definedNames/>
  <calcPr/>
  <extLst>
    <ext uri="GoogleSheetsCustomDataVersion2">
      <go:sheetsCustomData xmlns:go="http://customooxmlschemas.google.com/" r:id="rId5" roundtripDataChecksum="T+wgQGNF4KIIEHE24MBWKVEDsJZ9AnPAXH/kEbbdfJM="/>
    </ext>
  </extLst>
</workbook>
</file>

<file path=xl/sharedStrings.xml><?xml version="1.0" encoding="utf-8"?>
<sst xmlns="http://schemas.openxmlformats.org/spreadsheetml/2006/main" count="168" uniqueCount="142">
  <si>
    <t>BLOODHOUND RCEV — BILL OF MATERIALS</t>
  </si>
  <si>
    <t xml:space="preserve">Idaho State University | RCET Capstone Project </t>
  </si>
  <si>
    <t>#</t>
  </si>
  <si>
    <t>Category</t>
  </si>
  <si>
    <t>Item Description</t>
  </si>
  <si>
    <t>Part / Source</t>
  </si>
  <si>
    <t>Qty</t>
  </si>
  <si>
    <t>Unit Cost (Est.)</t>
  </si>
  <si>
    <t>Total Cost (Est.)</t>
  </si>
  <si>
    <t>Notes</t>
  </si>
  <si>
    <t>CHASSIS &amp; MECHANICAL</t>
  </si>
  <si>
    <t>Kawasaki 450 ATV Frame (Facebook Marketplace)</t>
  </si>
  <si>
    <t>Facebook Marketplace</t>
  </si>
  <si>
    <t>Includes suspension, axles, wheels, steering column</t>
  </si>
  <si>
    <t>Front wheel hubs (modified for hub motors)</t>
  </si>
  <si>
    <t>Custom / local fab</t>
  </si>
  <si>
    <t>May require machining</t>
  </si>
  <si>
    <t>Steering linkage hardware / tie rods</t>
  </si>
  <si>
    <t>Local hardware / OEM</t>
  </si>
  <si>
    <t>Verify fitment with servo mount</t>
  </si>
  <si>
    <t>DOCYKE Power Steering Servo Motor</t>
  </si>
  <si>
    <t>DOCYKE S350</t>
  </si>
  <si>
    <t>Mounted to steering column; PWM controlled</t>
  </si>
  <si>
    <t>Servo mounting bracket (custom fabricated)</t>
  </si>
  <si>
    <t>Custom fab / 3D print</t>
  </si>
  <si>
    <t>Mounts servo to steering column</t>
  </si>
  <si>
    <t>Assorted fasteners (M4, M6, M8 screws/nuts/washers)</t>
  </si>
  <si>
    <t>Amazon / local hardware</t>
  </si>
  <si>
    <t>~100 pc mixed kit</t>
  </si>
  <si>
    <t>POWER SYSTEM</t>
  </si>
  <si>
    <t>52V 30Ah LiFePO4 Battery Pack</t>
  </si>
  <si>
    <t>Supplier / eBay</t>
  </si>
  <si>
    <t>Main drive and system power</t>
  </si>
  <si>
    <t>BMS (integrated with battery pack)</t>
  </si>
  <si>
    <t>Included with battery</t>
  </si>
  <si>
    <t>60A BMS per battery manual</t>
  </si>
  <si>
    <t>DC/DC Converter (30–60V in, 24V/10A out)</t>
  </si>
  <si>
    <t>Amazon / AliExpress</t>
  </si>
  <si>
    <t>Powers 24V logic rail</t>
  </si>
  <si>
    <t>High-current inline safety switch (main disconnect)</t>
  </si>
  <si>
    <t>Amazon / EV Supply</t>
  </si>
  <si>
    <t>Emergency shutoff on main 52V line</t>
  </si>
  <si>
    <t>52V Power distribution bus bar</t>
  </si>
  <si>
    <t>Amazon</t>
  </si>
  <si>
    <t>Main positive bus for battery outputs</t>
  </si>
  <si>
    <t>Blade fuse holder + fuses (20A, 30A assorted)</t>
  </si>
  <si>
    <t>Inline protection for each branch</t>
  </si>
  <si>
    <t>Anderson SB50 / XT90 battery connector</t>
  </si>
  <si>
    <t>Main battery disconnect connector</t>
  </si>
  <si>
    <t>DRIVE SYSTEM</t>
  </si>
  <si>
    <t>48V Brushless Hub Motor (front)</t>
  </si>
  <si>
    <t>Supplier</t>
  </si>
  <si>
    <t>Dual front-wheel drive; 48V nominal</t>
  </si>
  <si>
    <t>48V Brushless Speed Controller (2-mode, 60A)</t>
  </si>
  <si>
    <t>Supplier / AliExpress</t>
  </si>
  <si>
    <t>Per spec: 48/60/64/72V, 26–32A current limit</t>
  </si>
  <si>
    <t>Throttle signal potentiometer / hall sensor</t>
  </si>
  <si>
    <t>0–5V throttle signal to speed controller</t>
  </si>
  <si>
    <t>Reverse gear relay / logic circuit</t>
  </si>
  <si>
    <t>Activates reverse gear signal on controller</t>
  </si>
  <si>
    <t>CONTROL ELECTRONICS / PCBs</t>
  </si>
  <si>
    <t>Universal Remote Controller PCB (PIC16LF1789, custom)</t>
  </si>
  <si>
    <t>Custom fab / JLCPCB</t>
  </si>
  <si>
    <t>44-pin DIP; URC transmitter board</t>
  </si>
  <si>
    <t>Master Main Board PCB (PIC16F1788, custom)</t>
  </si>
  <si>
    <t>28-pin; UART RX, I2C master</t>
  </si>
  <si>
    <t>Slave Development Board PCB (PIC16F1788, custom)</t>
  </si>
  <si>
    <t>28-pin; I2C slave, PWM servo output</t>
  </si>
  <si>
    <t>Xbee Pro Board PCB</t>
  </si>
  <si>
    <t>UART to UART transmitter/ receiver</t>
  </si>
  <si>
    <t>PIC16LF1789 Microcontroller (URC)</t>
  </si>
  <si>
    <t>Microchip / Digi-Key</t>
  </si>
  <si>
    <t>44-pin DIP package</t>
  </si>
  <si>
    <t>PIC16F1788 Microcontroller (Master)</t>
  </si>
  <si>
    <t>28-pin DIP package</t>
  </si>
  <si>
    <t>PIC16F1788 Microcontroller (Slave)</t>
  </si>
  <si>
    <t>MOSFET I2C level shifter (BSS138 or equiv.)</t>
  </si>
  <si>
    <t>Digi-Key / Mouser</t>
  </si>
  <si>
    <t>SCL/SDA voltage translation 3.3V–5V</t>
  </si>
  <si>
    <t>Decoupling capacitors (0.1uF, 10uF assorted)</t>
  </si>
  <si>
    <t>Digi-Key</t>
  </si>
  <si>
    <t>Bulk order; bypass caps per PCB</t>
  </si>
  <si>
    <t>Crystal oscillators / resonators (if needed)</t>
  </si>
  <si>
    <t>Slave &amp; Master uses internal OSC</t>
  </si>
  <si>
    <t>DIP switches (address select, 4-pos)</t>
  </si>
  <si>
    <t>Amazon / Digi-Key</t>
  </si>
  <si>
    <t>I2C address selection on slave boards</t>
  </si>
  <si>
    <t>Indicator LEDs (D4, D5 debug; assorted colors)</t>
  </si>
  <si>
    <t>Debug and status LEDs on PCBs</t>
  </si>
  <si>
    <t>Current limiting resistors (330Ω, 1kΩ, 10kΩ assorted)</t>
  </si>
  <si>
    <t>LED limiting, pull-ups, etc.</t>
  </si>
  <si>
    <t>Pin headers / IDC connectors (2.54mm, assorted)</t>
  </si>
  <si>
    <t>PCB interconnects and programming headers</t>
  </si>
  <si>
    <t>PIC programmer (PICkit 4 or equiv.)</t>
  </si>
  <si>
    <t>Microchip Direct</t>
  </si>
  <si>
    <t>Assumed available; include if not yet purchased</t>
  </si>
  <si>
    <t>COMMUNICATION</t>
  </si>
  <si>
    <t>UART wireless transceiver module (915MHz or 2.4GHz)</t>
  </si>
  <si>
    <t>One per end; URC TX and Master board RX</t>
  </si>
  <si>
    <t>Piksi v.2.3.1 RTK Module Kit</t>
  </si>
  <si>
    <t>Ebay</t>
  </si>
  <si>
    <t>Discontinued in 2017; may need to find alternative</t>
  </si>
  <si>
    <t>WIRING &amp; CONNECTORS</t>
  </si>
  <si>
    <t>16 AWG stranded wire (~10 ft, red/black)</t>
  </si>
  <si>
    <t>Amazon / Home Depot</t>
  </si>
  <si>
    <t>General power wiring, motor signal runs</t>
  </si>
  <si>
    <t>4 AWG battery cable (~4 ft, red/black)</t>
  </si>
  <si>
    <t>High-current battery to controller runs</t>
  </si>
  <si>
    <t>22 AWG stranded wire (~5 ft, assorted colors)</t>
  </si>
  <si>
    <t>PCB signal wiring, relay control</t>
  </si>
  <si>
    <t>JST connectors (various, ~10 total)</t>
  </si>
  <si>
    <t>PCB and sensor interconnects</t>
  </si>
  <si>
    <t>Ring terminals / butt connectors (assorted)</t>
  </si>
  <si>
    <t>Battery and high-current terminations</t>
  </si>
  <si>
    <t>Heat shrink tubing (assorted sizes)</t>
  </si>
  <si>
    <t>Wire insulation and strain relief</t>
  </si>
  <si>
    <t>Cable ties / zip ties (100 pc bag)</t>
  </si>
  <si>
    <t>Wire management</t>
  </si>
  <si>
    <t>Wire loom / braided sleeve (~6 ft)</t>
  </si>
  <si>
    <t>Protection and organization of wire runs</t>
  </si>
  <si>
    <t>LIGHTING</t>
  </si>
  <si>
    <t>LED headlights (12V or 24V, 2-pack)</t>
  </si>
  <si>
    <t>Front-facing; powered from 24V rail via relay</t>
  </si>
  <si>
    <t>Relay module for headlight control (5V trigger)</t>
  </si>
  <si>
    <t>Logic-level control from Master board</t>
  </si>
  <si>
    <t>LED indicator / brake lights (rear)</t>
  </si>
  <si>
    <t>Optional; rear visibility</t>
  </si>
  <si>
    <t>ENCLOSURES &amp; MOUNTING</t>
  </si>
  <si>
    <t>PCB enclosure / electronics mounting tray</t>
  </si>
  <si>
    <t>Amazon / 3D print</t>
  </si>
  <si>
    <t>Protects electronics from vibration and weather</t>
  </si>
  <si>
    <t>Battery mounting tray / strap kit</t>
  </si>
  <si>
    <t>Custom fab / Amazon</t>
  </si>
  <si>
    <t>Secures 52V pack to frame</t>
  </si>
  <si>
    <t>Speed controller mounting hardware</t>
  </si>
  <si>
    <t>Local hardware</t>
  </si>
  <si>
    <t>Aluminum angle or bracket per controller</t>
  </si>
  <si>
    <t>Vibration-damping standoffs (M3/M4)</t>
  </si>
  <si>
    <t>PCB isolation from frame vibration</t>
  </si>
  <si>
    <t>Tripod</t>
  </si>
  <si>
    <t>For use as Piksi Base Station</t>
  </si>
  <si>
    <t>ESTIMATED 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</si>
</sst>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sz val="9.0"/>
      <color rgb="FF000000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164" xfId="0" applyAlignment="1" applyBorder="1" applyFont="1" applyNumberForma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shrinkToFit="0" vertical="bottom" wrapText="0"/>
    </xf>
    <xf borderId="4" fillId="6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7" numFmtId="164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7" numFmtId="164" xfId="0" applyAlignment="1" applyBorder="1" applyFont="1" applyNumberFormat="1">
      <alignment horizontal="center" readingOrder="0" shrinkToFit="0" vertical="center" wrapText="1"/>
    </xf>
    <xf borderId="4" fillId="5" fontId="7" numFmtId="164" xfId="0" applyAlignment="1" applyBorder="1" applyFont="1" applyNumberFormat="1">
      <alignment horizontal="center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shrinkToFit="0" vertical="bottom" wrapText="0"/>
    </xf>
    <xf borderId="0" fillId="5" fontId="7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8" fillId="2" fontId="9" numFmtId="164" xfId="0" applyAlignment="1" applyBorder="1" applyFont="1" applyNumberFormat="1">
      <alignment horizontal="center" shrinkToFit="0" vertical="center" wrapText="1"/>
    </xf>
    <xf borderId="8" fillId="2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38.0"/>
    <col customWidth="1" min="4" max="4" width="28.0"/>
    <col customWidth="1" min="5" max="5" width="6.0"/>
    <col customWidth="1" min="6" max="7" width="16.0"/>
    <col customWidth="1" min="8" max="8" width="35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8.0" customHeight="1">
      <c r="A4" s="6" t="s">
        <v>10</v>
      </c>
      <c r="B4" s="7"/>
      <c r="C4" s="7"/>
      <c r="D4" s="7"/>
      <c r="E4" s="7"/>
      <c r="F4" s="7"/>
      <c r="G4" s="7"/>
      <c r="H4" s="8"/>
    </row>
    <row r="5" ht="26.25" customHeight="1">
      <c r="A5" s="9">
        <v>1.0</v>
      </c>
      <c r="B5" s="10"/>
      <c r="C5" s="11" t="s">
        <v>11</v>
      </c>
      <c r="D5" s="11" t="s">
        <v>12</v>
      </c>
      <c r="E5" s="12">
        <v>1.0</v>
      </c>
      <c r="F5" s="13">
        <v>350.0</v>
      </c>
      <c r="G5" s="13">
        <f t="shared" ref="G5:G10" si="1">E5*F5</f>
        <v>350</v>
      </c>
      <c r="H5" s="14" t="s">
        <v>13</v>
      </c>
    </row>
    <row r="6" ht="15.75" customHeight="1">
      <c r="A6" s="15">
        <v>3.0</v>
      </c>
      <c r="B6" s="16"/>
      <c r="C6" s="17" t="s">
        <v>14</v>
      </c>
      <c r="D6" s="17" t="s">
        <v>15</v>
      </c>
      <c r="E6" s="18">
        <v>2.0</v>
      </c>
      <c r="F6" s="19">
        <v>25.0</v>
      </c>
      <c r="G6" s="19">
        <f t="shared" si="1"/>
        <v>50</v>
      </c>
      <c r="H6" s="20" t="s">
        <v>16</v>
      </c>
    </row>
    <row r="7" ht="15.75" customHeight="1">
      <c r="A7" s="9">
        <v>4.0</v>
      </c>
      <c r="B7" s="10"/>
      <c r="C7" s="11" t="s">
        <v>17</v>
      </c>
      <c r="D7" s="11" t="s">
        <v>18</v>
      </c>
      <c r="E7" s="12">
        <v>1.0</v>
      </c>
      <c r="F7" s="13">
        <v>30.0</v>
      </c>
      <c r="G7" s="13">
        <f t="shared" si="1"/>
        <v>30</v>
      </c>
      <c r="H7" s="14" t="s">
        <v>19</v>
      </c>
    </row>
    <row r="8" ht="27.75" customHeight="1">
      <c r="A8" s="15">
        <v>5.0</v>
      </c>
      <c r="B8" s="16"/>
      <c r="C8" s="21" t="s">
        <v>20</v>
      </c>
      <c r="D8" s="21" t="s">
        <v>21</v>
      </c>
      <c r="E8" s="22">
        <v>3.0</v>
      </c>
      <c r="F8" s="19">
        <v>120.0</v>
      </c>
      <c r="G8" s="19">
        <f t="shared" si="1"/>
        <v>360</v>
      </c>
      <c r="H8" s="20" t="s">
        <v>22</v>
      </c>
    </row>
    <row r="9" ht="15.75" customHeight="1">
      <c r="A9" s="9">
        <v>6.0</v>
      </c>
      <c r="B9" s="10"/>
      <c r="C9" s="11" t="s">
        <v>23</v>
      </c>
      <c r="D9" s="11" t="s">
        <v>24</v>
      </c>
      <c r="E9" s="12">
        <v>1.0</v>
      </c>
      <c r="F9" s="13">
        <v>20.0</v>
      </c>
      <c r="G9" s="13">
        <f t="shared" si="1"/>
        <v>20</v>
      </c>
      <c r="H9" s="14" t="s">
        <v>25</v>
      </c>
    </row>
    <row r="10" ht="15.75" customHeight="1">
      <c r="A10" s="15">
        <v>7.0</v>
      </c>
      <c r="B10" s="16"/>
      <c r="C10" s="17" t="s">
        <v>26</v>
      </c>
      <c r="D10" s="17" t="s">
        <v>27</v>
      </c>
      <c r="E10" s="18">
        <v>1.0</v>
      </c>
      <c r="F10" s="19">
        <v>18.0</v>
      </c>
      <c r="G10" s="19">
        <f t="shared" si="1"/>
        <v>18</v>
      </c>
      <c r="H10" s="20" t="s">
        <v>28</v>
      </c>
    </row>
    <row r="11" ht="18.0" customHeight="1">
      <c r="A11" s="6" t="s">
        <v>29</v>
      </c>
      <c r="B11" s="7"/>
      <c r="C11" s="7"/>
      <c r="D11" s="7"/>
      <c r="E11" s="7"/>
      <c r="F11" s="7"/>
      <c r="G11" s="7"/>
      <c r="H11" s="8"/>
    </row>
    <row r="12" ht="15.75" customHeight="1">
      <c r="A12" s="9">
        <v>8.0</v>
      </c>
      <c r="B12" s="10"/>
      <c r="C12" s="11" t="s">
        <v>30</v>
      </c>
      <c r="D12" s="11" t="s">
        <v>31</v>
      </c>
      <c r="E12" s="12">
        <v>1.0</v>
      </c>
      <c r="F12" s="13">
        <v>420.0</v>
      </c>
      <c r="G12" s="13">
        <f t="shared" ref="G12:G18" si="2">E12*F12</f>
        <v>420</v>
      </c>
      <c r="H12" s="14" t="s">
        <v>32</v>
      </c>
    </row>
    <row r="13" ht="15.75" customHeight="1">
      <c r="A13" s="15">
        <v>9.0</v>
      </c>
      <c r="B13" s="16"/>
      <c r="C13" s="17" t="s">
        <v>33</v>
      </c>
      <c r="D13" s="17" t="s">
        <v>34</v>
      </c>
      <c r="E13" s="18">
        <v>1.0</v>
      </c>
      <c r="F13" s="19">
        <v>0.0</v>
      </c>
      <c r="G13" s="19">
        <f t="shared" si="2"/>
        <v>0</v>
      </c>
      <c r="H13" s="20" t="s">
        <v>35</v>
      </c>
    </row>
    <row r="14" ht="15.75" customHeight="1">
      <c r="A14" s="9">
        <v>10.0</v>
      </c>
      <c r="B14" s="10"/>
      <c r="C14" s="11" t="s">
        <v>36</v>
      </c>
      <c r="D14" s="11" t="s">
        <v>37</v>
      </c>
      <c r="E14" s="12">
        <v>1.0</v>
      </c>
      <c r="F14" s="13">
        <v>35.0</v>
      </c>
      <c r="G14" s="13">
        <f t="shared" si="2"/>
        <v>35</v>
      </c>
      <c r="H14" s="14" t="s">
        <v>38</v>
      </c>
    </row>
    <row r="15" ht="29.25" customHeight="1">
      <c r="A15" s="15">
        <v>11.0</v>
      </c>
      <c r="B15" s="16"/>
      <c r="C15" s="17" t="s">
        <v>39</v>
      </c>
      <c r="D15" s="17" t="s">
        <v>40</v>
      </c>
      <c r="E15" s="18">
        <v>1.0</v>
      </c>
      <c r="F15" s="19">
        <v>22.0</v>
      </c>
      <c r="G15" s="19">
        <f t="shared" si="2"/>
        <v>22</v>
      </c>
      <c r="H15" s="20" t="s">
        <v>41</v>
      </c>
    </row>
    <row r="16" ht="15.75" customHeight="1">
      <c r="A16" s="9">
        <v>12.0</v>
      </c>
      <c r="B16" s="10"/>
      <c r="C16" s="11" t="s">
        <v>42</v>
      </c>
      <c r="D16" s="11" t="s">
        <v>43</v>
      </c>
      <c r="E16" s="12">
        <v>1.0</v>
      </c>
      <c r="F16" s="13">
        <v>18.0</v>
      </c>
      <c r="G16" s="13">
        <f t="shared" si="2"/>
        <v>18</v>
      </c>
      <c r="H16" s="14" t="s">
        <v>44</v>
      </c>
    </row>
    <row r="17" ht="27.0" customHeight="1">
      <c r="A17" s="15">
        <v>13.0</v>
      </c>
      <c r="B17" s="16"/>
      <c r="C17" s="17" t="s">
        <v>45</v>
      </c>
      <c r="D17" s="17" t="s">
        <v>43</v>
      </c>
      <c r="E17" s="18">
        <v>1.0</v>
      </c>
      <c r="F17" s="19">
        <v>12.0</v>
      </c>
      <c r="G17" s="19">
        <f t="shared" si="2"/>
        <v>12</v>
      </c>
      <c r="H17" s="20" t="s">
        <v>46</v>
      </c>
    </row>
    <row r="18" ht="15.75" customHeight="1">
      <c r="A18" s="9">
        <v>14.0</v>
      </c>
      <c r="B18" s="10"/>
      <c r="C18" s="11" t="s">
        <v>47</v>
      </c>
      <c r="D18" s="11" t="s">
        <v>43</v>
      </c>
      <c r="E18" s="12">
        <v>2.0</v>
      </c>
      <c r="F18" s="13">
        <v>6.0</v>
      </c>
      <c r="G18" s="13">
        <f t="shared" si="2"/>
        <v>12</v>
      </c>
      <c r="H18" s="14" t="s">
        <v>48</v>
      </c>
    </row>
    <row r="19" ht="18.0" customHeight="1">
      <c r="A19" s="6" t="s">
        <v>49</v>
      </c>
      <c r="B19" s="7"/>
      <c r="C19" s="7"/>
      <c r="D19" s="7"/>
      <c r="E19" s="7"/>
      <c r="F19" s="7"/>
      <c r="G19" s="7"/>
      <c r="H19" s="8"/>
    </row>
    <row r="20" ht="15.75" customHeight="1">
      <c r="A20" s="15">
        <v>15.0</v>
      </c>
      <c r="B20" s="16"/>
      <c r="C20" s="17" t="s">
        <v>50</v>
      </c>
      <c r="D20" s="17" t="s">
        <v>51</v>
      </c>
      <c r="E20" s="18">
        <v>2.0</v>
      </c>
      <c r="F20" s="19">
        <v>180.0</v>
      </c>
      <c r="G20" s="19">
        <f t="shared" ref="G20:G23" si="3">E20*F20</f>
        <v>360</v>
      </c>
      <c r="H20" s="20" t="s">
        <v>52</v>
      </c>
    </row>
    <row r="21" ht="26.25" customHeight="1">
      <c r="A21" s="9">
        <v>16.0</v>
      </c>
      <c r="B21" s="10"/>
      <c r="C21" s="11" t="s">
        <v>53</v>
      </c>
      <c r="D21" s="11" t="s">
        <v>54</v>
      </c>
      <c r="E21" s="12">
        <v>2.0</v>
      </c>
      <c r="F21" s="13">
        <v>65.0</v>
      </c>
      <c r="G21" s="13">
        <f t="shared" si="3"/>
        <v>130</v>
      </c>
      <c r="H21" s="14" t="s">
        <v>55</v>
      </c>
    </row>
    <row r="22" ht="15.75" customHeight="1">
      <c r="A22" s="15">
        <v>17.0</v>
      </c>
      <c r="B22" s="16"/>
      <c r="C22" s="17" t="s">
        <v>56</v>
      </c>
      <c r="D22" s="17" t="s">
        <v>37</v>
      </c>
      <c r="E22" s="18">
        <v>1.0</v>
      </c>
      <c r="F22" s="19">
        <v>12.0</v>
      </c>
      <c r="G22" s="19">
        <f t="shared" si="3"/>
        <v>12</v>
      </c>
      <c r="H22" s="20" t="s">
        <v>57</v>
      </c>
    </row>
    <row r="23" ht="15.75" customHeight="1">
      <c r="A23" s="9">
        <v>18.0</v>
      </c>
      <c r="B23" s="10"/>
      <c r="C23" s="11" t="s">
        <v>58</v>
      </c>
      <c r="D23" s="11" t="s">
        <v>43</v>
      </c>
      <c r="E23" s="12">
        <v>1.0</v>
      </c>
      <c r="F23" s="13">
        <v>8.0</v>
      </c>
      <c r="G23" s="13">
        <f t="shared" si="3"/>
        <v>8</v>
      </c>
      <c r="H23" s="14" t="s">
        <v>59</v>
      </c>
    </row>
    <row r="24" ht="18.0" customHeight="1">
      <c r="A24" s="6" t="s">
        <v>60</v>
      </c>
      <c r="B24" s="7"/>
      <c r="C24" s="7"/>
      <c r="D24" s="7"/>
      <c r="E24" s="7"/>
      <c r="F24" s="7"/>
      <c r="G24" s="7"/>
      <c r="H24" s="8"/>
    </row>
    <row r="25" ht="29.25" customHeight="1">
      <c r="A25" s="15">
        <v>19.0</v>
      </c>
      <c r="B25" s="16"/>
      <c r="C25" s="17" t="s">
        <v>61</v>
      </c>
      <c r="D25" s="17" t="s">
        <v>62</v>
      </c>
      <c r="E25" s="18">
        <v>1.0</v>
      </c>
      <c r="F25" s="23">
        <v>115.0</v>
      </c>
      <c r="G25" s="19">
        <f t="shared" ref="G25:G27" si="4">E25*F25</f>
        <v>115</v>
      </c>
      <c r="H25" s="20" t="s">
        <v>63</v>
      </c>
    </row>
    <row r="26" ht="22.5" customHeight="1">
      <c r="A26" s="9">
        <v>20.0</v>
      </c>
      <c r="B26" s="10"/>
      <c r="C26" s="11" t="s">
        <v>64</v>
      </c>
      <c r="D26" s="11" t="s">
        <v>62</v>
      </c>
      <c r="E26" s="12">
        <v>1.0</v>
      </c>
      <c r="F26" s="24">
        <v>50.0</v>
      </c>
      <c r="G26" s="13">
        <f t="shared" si="4"/>
        <v>50</v>
      </c>
      <c r="H26" s="14" t="s">
        <v>65</v>
      </c>
    </row>
    <row r="27" ht="25.5" customHeight="1">
      <c r="A27" s="15">
        <v>21.0</v>
      </c>
      <c r="B27" s="16"/>
      <c r="C27" s="17" t="s">
        <v>66</v>
      </c>
      <c r="D27" s="17" t="s">
        <v>62</v>
      </c>
      <c r="E27" s="18">
        <v>1.0</v>
      </c>
      <c r="F27" s="23">
        <v>25.0</v>
      </c>
      <c r="G27" s="19">
        <f t="shared" si="4"/>
        <v>25</v>
      </c>
      <c r="H27" s="20" t="s">
        <v>67</v>
      </c>
    </row>
    <row r="28" ht="15.75" customHeight="1">
      <c r="A28" s="9"/>
      <c r="B28" s="10"/>
      <c r="C28" s="25" t="s">
        <v>68</v>
      </c>
      <c r="D28" s="11"/>
      <c r="E28" s="26">
        <v>2.0</v>
      </c>
      <c r="F28" s="24">
        <v>45.0</v>
      </c>
      <c r="G28" s="24">
        <v>90.0</v>
      </c>
      <c r="H28" s="27" t="s">
        <v>69</v>
      </c>
    </row>
    <row r="29" ht="15.75" customHeight="1">
      <c r="A29" s="9">
        <v>22.0</v>
      </c>
      <c r="B29" s="10"/>
      <c r="C29" s="11" t="s">
        <v>70</v>
      </c>
      <c r="D29" s="11" t="s">
        <v>71</v>
      </c>
      <c r="E29" s="12">
        <v>1.0</v>
      </c>
      <c r="F29" s="13">
        <v>6.5</v>
      </c>
      <c r="G29" s="13">
        <f t="shared" ref="G29:G39" si="5">E29*F29</f>
        <v>6.5</v>
      </c>
      <c r="H29" s="14" t="s">
        <v>72</v>
      </c>
    </row>
    <row r="30" ht="15.75" customHeight="1">
      <c r="A30" s="15">
        <v>23.0</v>
      </c>
      <c r="B30" s="16"/>
      <c r="C30" s="17" t="s">
        <v>73</v>
      </c>
      <c r="D30" s="17" t="s">
        <v>71</v>
      </c>
      <c r="E30" s="18">
        <v>1.0</v>
      </c>
      <c r="F30" s="19">
        <v>5.5</v>
      </c>
      <c r="G30" s="19">
        <f t="shared" si="5"/>
        <v>5.5</v>
      </c>
      <c r="H30" s="20" t="s">
        <v>74</v>
      </c>
    </row>
    <row r="31" ht="15.75" customHeight="1">
      <c r="A31" s="9">
        <v>24.0</v>
      </c>
      <c r="B31" s="10"/>
      <c r="C31" s="11" t="s">
        <v>75</v>
      </c>
      <c r="D31" s="11" t="s">
        <v>71</v>
      </c>
      <c r="E31" s="12">
        <v>1.0</v>
      </c>
      <c r="F31" s="13">
        <v>5.5</v>
      </c>
      <c r="G31" s="13">
        <f t="shared" si="5"/>
        <v>5.5</v>
      </c>
      <c r="H31" s="14" t="s">
        <v>74</v>
      </c>
    </row>
    <row r="32" ht="24.0" customHeight="1">
      <c r="A32" s="15">
        <v>25.0</v>
      </c>
      <c r="B32" s="16"/>
      <c r="C32" s="17" t="s">
        <v>76</v>
      </c>
      <c r="D32" s="17" t="s">
        <v>77</v>
      </c>
      <c r="E32" s="18">
        <v>4.0</v>
      </c>
      <c r="F32" s="19">
        <v>0.5</v>
      </c>
      <c r="G32" s="19">
        <f t="shared" si="5"/>
        <v>2</v>
      </c>
      <c r="H32" s="20" t="s">
        <v>78</v>
      </c>
    </row>
    <row r="33" ht="26.25" customHeight="1">
      <c r="A33" s="9">
        <v>26.0</v>
      </c>
      <c r="B33" s="10"/>
      <c r="C33" s="11" t="s">
        <v>79</v>
      </c>
      <c r="D33" s="11" t="s">
        <v>80</v>
      </c>
      <c r="E33" s="12">
        <v>1.0</v>
      </c>
      <c r="F33" s="13">
        <v>4.0</v>
      </c>
      <c r="G33" s="13">
        <f t="shared" si="5"/>
        <v>4</v>
      </c>
      <c r="H33" s="14" t="s">
        <v>81</v>
      </c>
    </row>
    <row r="34" ht="15.75" customHeight="1">
      <c r="A34" s="15">
        <v>27.0</v>
      </c>
      <c r="B34" s="16"/>
      <c r="C34" s="17" t="s">
        <v>82</v>
      </c>
      <c r="D34" s="17" t="s">
        <v>80</v>
      </c>
      <c r="E34" s="18">
        <v>2.0</v>
      </c>
      <c r="F34" s="19">
        <v>1.5</v>
      </c>
      <c r="G34" s="19">
        <f t="shared" si="5"/>
        <v>3</v>
      </c>
      <c r="H34" s="28" t="s">
        <v>83</v>
      </c>
    </row>
    <row r="35" ht="15.75" customHeight="1">
      <c r="A35" s="9">
        <v>28.0</v>
      </c>
      <c r="B35" s="10"/>
      <c r="C35" s="11" t="s">
        <v>84</v>
      </c>
      <c r="D35" s="11" t="s">
        <v>85</v>
      </c>
      <c r="E35" s="12">
        <v>2.0</v>
      </c>
      <c r="F35" s="13">
        <v>2.5</v>
      </c>
      <c r="G35" s="13">
        <f t="shared" si="5"/>
        <v>5</v>
      </c>
      <c r="H35" s="14" t="s">
        <v>86</v>
      </c>
    </row>
    <row r="36" ht="22.5" customHeight="1">
      <c r="A36" s="15">
        <v>29.0</v>
      </c>
      <c r="B36" s="16"/>
      <c r="C36" s="17" t="s">
        <v>87</v>
      </c>
      <c r="D36" s="17" t="s">
        <v>43</v>
      </c>
      <c r="E36" s="18">
        <v>10.0</v>
      </c>
      <c r="F36" s="19">
        <v>0.25</v>
      </c>
      <c r="G36" s="19">
        <f t="shared" si="5"/>
        <v>2.5</v>
      </c>
      <c r="H36" s="20" t="s">
        <v>88</v>
      </c>
    </row>
    <row r="37" ht="24.0" customHeight="1">
      <c r="A37" s="9">
        <v>30.0</v>
      </c>
      <c r="B37" s="10"/>
      <c r="C37" s="11" t="s">
        <v>89</v>
      </c>
      <c r="D37" s="11" t="s">
        <v>85</v>
      </c>
      <c r="E37" s="12">
        <v>1.0</v>
      </c>
      <c r="F37" s="13">
        <v>5.0</v>
      </c>
      <c r="G37" s="13">
        <f t="shared" si="5"/>
        <v>5</v>
      </c>
      <c r="H37" s="14" t="s">
        <v>90</v>
      </c>
    </row>
    <row r="38" ht="27.0" customHeight="1">
      <c r="A38" s="15">
        <v>31.0</v>
      </c>
      <c r="B38" s="16"/>
      <c r="C38" s="17" t="s">
        <v>91</v>
      </c>
      <c r="D38" s="17" t="s">
        <v>43</v>
      </c>
      <c r="E38" s="18">
        <v>1.0</v>
      </c>
      <c r="F38" s="19">
        <v>8.0</v>
      </c>
      <c r="G38" s="19">
        <f t="shared" si="5"/>
        <v>8</v>
      </c>
      <c r="H38" s="20" t="s">
        <v>92</v>
      </c>
    </row>
    <row r="39" ht="25.5" customHeight="1">
      <c r="A39" s="9">
        <v>32.0</v>
      </c>
      <c r="B39" s="10"/>
      <c r="C39" s="11" t="s">
        <v>93</v>
      </c>
      <c r="D39" s="11" t="s">
        <v>94</v>
      </c>
      <c r="E39" s="12">
        <v>1.0</v>
      </c>
      <c r="F39" s="13">
        <v>75.0</v>
      </c>
      <c r="G39" s="13">
        <f t="shared" si="5"/>
        <v>75</v>
      </c>
      <c r="H39" s="14" t="s">
        <v>95</v>
      </c>
    </row>
    <row r="40" ht="18.0" customHeight="1">
      <c r="A40" s="6" t="s">
        <v>96</v>
      </c>
      <c r="B40" s="7"/>
      <c r="C40" s="7"/>
      <c r="D40" s="7"/>
      <c r="E40" s="7"/>
      <c r="F40" s="7"/>
      <c r="G40" s="7"/>
      <c r="H40" s="8"/>
    </row>
    <row r="41" ht="26.25" customHeight="1">
      <c r="A41" s="15">
        <v>33.0</v>
      </c>
      <c r="B41" s="16"/>
      <c r="C41" s="17" t="s">
        <v>97</v>
      </c>
      <c r="D41" s="17" t="s">
        <v>37</v>
      </c>
      <c r="E41" s="18">
        <v>2.0</v>
      </c>
      <c r="F41" s="19">
        <v>18.0</v>
      </c>
      <c r="G41" s="19">
        <f t="shared" ref="G41:G42" si="6">E41*F41</f>
        <v>36</v>
      </c>
      <c r="H41" s="20" t="s">
        <v>98</v>
      </c>
    </row>
    <row r="42" ht="26.25" customHeight="1">
      <c r="A42" s="29">
        <v>34.0</v>
      </c>
      <c r="B42" s="30"/>
      <c r="C42" s="31" t="s">
        <v>99</v>
      </c>
      <c r="D42" s="31" t="s">
        <v>100</v>
      </c>
      <c r="E42" s="32">
        <v>2.0</v>
      </c>
      <c r="F42" s="33">
        <v>499.0</v>
      </c>
      <c r="G42" s="13">
        <f t="shared" si="6"/>
        <v>998</v>
      </c>
      <c r="H42" s="34" t="s">
        <v>101</v>
      </c>
    </row>
    <row r="43" ht="18.0" customHeight="1">
      <c r="A43" s="6" t="s">
        <v>102</v>
      </c>
      <c r="B43" s="7"/>
      <c r="C43" s="7"/>
      <c r="D43" s="7"/>
      <c r="E43" s="7"/>
      <c r="F43" s="7"/>
      <c r="G43" s="7"/>
      <c r="H43" s="8"/>
    </row>
    <row r="44" ht="15.75" customHeight="1">
      <c r="A44" s="15">
        <v>35.0</v>
      </c>
      <c r="B44" s="16"/>
      <c r="C44" s="17" t="s">
        <v>103</v>
      </c>
      <c r="D44" s="17" t="s">
        <v>104</v>
      </c>
      <c r="E44" s="18">
        <v>10.0</v>
      </c>
      <c r="F44" s="19">
        <v>0.5</v>
      </c>
      <c r="G44" s="19">
        <f t="shared" ref="G44:G51" si="7">E44*F44</f>
        <v>5</v>
      </c>
      <c r="H44" s="20" t="s">
        <v>105</v>
      </c>
    </row>
    <row r="45" ht="15.75" customHeight="1">
      <c r="A45" s="9">
        <v>36.0</v>
      </c>
      <c r="B45" s="10"/>
      <c r="C45" s="11" t="s">
        <v>106</v>
      </c>
      <c r="D45" s="11" t="s">
        <v>40</v>
      </c>
      <c r="E45" s="12">
        <v>4.0</v>
      </c>
      <c r="F45" s="13">
        <v>3.5</v>
      </c>
      <c r="G45" s="13">
        <f t="shared" si="7"/>
        <v>14</v>
      </c>
      <c r="H45" s="14" t="s">
        <v>107</v>
      </c>
    </row>
    <row r="46" ht="23.25" customHeight="1">
      <c r="A46" s="15">
        <v>37.0</v>
      </c>
      <c r="B46" s="16"/>
      <c r="C46" s="17" t="s">
        <v>108</v>
      </c>
      <c r="D46" s="17" t="s">
        <v>43</v>
      </c>
      <c r="E46" s="18">
        <v>5.0</v>
      </c>
      <c r="F46" s="19">
        <v>0.4</v>
      </c>
      <c r="G46" s="19">
        <f t="shared" si="7"/>
        <v>2</v>
      </c>
      <c r="H46" s="20" t="s">
        <v>109</v>
      </c>
    </row>
    <row r="47" ht="15.75" customHeight="1">
      <c r="A47" s="9">
        <v>38.0</v>
      </c>
      <c r="B47" s="10"/>
      <c r="C47" s="11" t="s">
        <v>110</v>
      </c>
      <c r="D47" s="11" t="s">
        <v>43</v>
      </c>
      <c r="E47" s="12">
        <v>10.0</v>
      </c>
      <c r="F47" s="13">
        <v>0.75</v>
      </c>
      <c r="G47" s="13">
        <f t="shared" si="7"/>
        <v>7.5</v>
      </c>
      <c r="H47" s="14" t="s">
        <v>111</v>
      </c>
    </row>
    <row r="48" ht="15.75" customHeight="1">
      <c r="A48" s="15">
        <v>39.0</v>
      </c>
      <c r="B48" s="16"/>
      <c r="C48" s="17" t="s">
        <v>112</v>
      </c>
      <c r="D48" s="17" t="s">
        <v>43</v>
      </c>
      <c r="E48" s="18">
        <v>1.0</v>
      </c>
      <c r="F48" s="19">
        <v>8.0</v>
      </c>
      <c r="G48" s="19">
        <f t="shared" si="7"/>
        <v>8</v>
      </c>
      <c r="H48" s="20" t="s">
        <v>113</v>
      </c>
    </row>
    <row r="49" ht="15.75" customHeight="1">
      <c r="A49" s="9">
        <v>40.0</v>
      </c>
      <c r="B49" s="10"/>
      <c r="C49" s="11" t="s">
        <v>114</v>
      </c>
      <c r="D49" s="11" t="s">
        <v>43</v>
      </c>
      <c r="E49" s="12">
        <v>1.0</v>
      </c>
      <c r="F49" s="13">
        <v>6.0</v>
      </c>
      <c r="G49" s="13">
        <f t="shared" si="7"/>
        <v>6</v>
      </c>
      <c r="H49" s="14" t="s">
        <v>115</v>
      </c>
    </row>
    <row r="50" ht="15.75" customHeight="1">
      <c r="A50" s="15">
        <v>41.0</v>
      </c>
      <c r="B50" s="16"/>
      <c r="C50" s="17" t="s">
        <v>116</v>
      </c>
      <c r="D50" s="17" t="s">
        <v>43</v>
      </c>
      <c r="E50" s="18">
        <v>1.0</v>
      </c>
      <c r="F50" s="19">
        <v>5.0</v>
      </c>
      <c r="G50" s="19">
        <f t="shared" si="7"/>
        <v>5</v>
      </c>
      <c r="H50" s="20" t="s">
        <v>117</v>
      </c>
    </row>
    <row r="51" ht="15.75" customHeight="1">
      <c r="A51" s="9">
        <v>42.0</v>
      </c>
      <c r="B51" s="10"/>
      <c r="C51" s="11" t="s">
        <v>118</v>
      </c>
      <c r="D51" s="11" t="s">
        <v>43</v>
      </c>
      <c r="E51" s="12">
        <v>1.0</v>
      </c>
      <c r="F51" s="13">
        <v>8.0</v>
      </c>
      <c r="G51" s="13">
        <f t="shared" si="7"/>
        <v>8</v>
      </c>
      <c r="H51" s="14" t="s">
        <v>119</v>
      </c>
    </row>
    <row r="52" ht="18.0" customHeight="1">
      <c r="A52" s="6" t="s">
        <v>120</v>
      </c>
      <c r="B52" s="7"/>
      <c r="C52" s="7"/>
      <c r="D52" s="7"/>
      <c r="E52" s="7"/>
      <c r="F52" s="7"/>
      <c r="G52" s="7"/>
      <c r="H52" s="8"/>
    </row>
    <row r="53" ht="15.75" customHeight="1">
      <c r="A53" s="35">
        <v>43.0</v>
      </c>
      <c r="B53" s="16"/>
      <c r="C53" s="17" t="s">
        <v>121</v>
      </c>
      <c r="D53" s="17" t="s">
        <v>43</v>
      </c>
      <c r="E53" s="18">
        <v>1.0</v>
      </c>
      <c r="F53" s="19">
        <v>18.0</v>
      </c>
      <c r="G53" s="19">
        <f t="shared" ref="G53:G55" si="8">E53*F53</f>
        <v>18</v>
      </c>
      <c r="H53" s="20" t="s">
        <v>122</v>
      </c>
    </row>
    <row r="54" ht="27.75" customHeight="1">
      <c r="A54" s="29">
        <v>44.0</v>
      </c>
      <c r="B54" s="10"/>
      <c r="C54" s="11" t="s">
        <v>123</v>
      </c>
      <c r="D54" s="11" t="s">
        <v>43</v>
      </c>
      <c r="E54" s="12">
        <v>1.0</v>
      </c>
      <c r="F54" s="13">
        <v>6.0</v>
      </c>
      <c r="G54" s="13">
        <f t="shared" si="8"/>
        <v>6</v>
      </c>
      <c r="H54" s="14" t="s">
        <v>124</v>
      </c>
    </row>
    <row r="55" ht="15.75" customHeight="1">
      <c r="A55" s="35">
        <v>45.0</v>
      </c>
      <c r="B55" s="16"/>
      <c r="C55" s="17" t="s">
        <v>125</v>
      </c>
      <c r="D55" s="17" t="s">
        <v>43</v>
      </c>
      <c r="E55" s="18">
        <v>1.0</v>
      </c>
      <c r="F55" s="19">
        <v>12.0</v>
      </c>
      <c r="G55" s="19">
        <f t="shared" si="8"/>
        <v>12</v>
      </c>
      <c r="H55" s="20" t="s">
        <v>126</v>
      </c>
    </row>
    <row r="56" ht="18.0" customHeight="1">
      <c r="A56" s="6" t="s">
        <v>127</v>
      </c>
      <c r="B56" s="7"/>
      <c r="C56" s="7"/>
      <c r="D56" s="7"/>
      <c r="E56" s="7"/>
      <c r="F56" s="7"/>
      <c r="G56" s="7"/>
      <c r="H56" s="8"/>
    </row>
    <row r="57" ht="24.75" customHeight="1">
      <c r="A57" s="29">
        <v>46.0</v>
      </c>
      <c r="B57" s="10"/>
      <c r="C57" s="11" t="s">
        <v>128</v>
      </c>
      <c r="D57" s="11" t="s">
        <v>129</v>
      </c>
      <c r="E57" s="12">
        <v>1.0</v>
      </c>
      <c r="F57" s="13">
        <v>20.0</v>
      </c>
      <c r="G57" s="13">
        <f t="shared" ref="G57:G61" si="9">E57*F57</f>
        <v>20</v>
      </c>
      <c r="H57" s="14" t="s">
        <v>130</v>
      </c>
    </row>
    <row r="58" ht="15.75" customHeight="1">
      <c r="A58" s="35">
        <v>47.0</v>
      </c>
      <c r="B58" s="16"/>
      <c r="C58" s="17" t="s">
        <v>131</v>
      </c>
      <c r="D58" s="17" t="s">
        <v>132</v>
      </c>
      <c r="E58" s="18">
        <v>1.0</v>
      </c>
      <c r="F58" s="19">
        <v>25.0</v>
      </c>
      <c r="G58" s="19">
        <f t="shared" si="9"/>
        <v>25</v>
      </c>
      <c r="H58" s="20" t="s">
        <v>133</v>
      </c>
    </row>
    <row r="59" ht="15.75" customHeight="1">
      <c r="A59" s="29">
        <v>48.0</v>
      </c>
      <c r="B59" s="10"/>
      <c r="C59" s="11" t="s">
        <v>134</v>
      </c>
      <c r="D59" s="11" t="s">
        <v>135</v>
      </c>
      <c r="E59" s="12">
        <v>2.0</v>
      </c>
      <c r="F59" s="13">
        <v>5.0</v>
      </c>
      <c r="G59" s="13">
        <f t="shared" si="9"/>
        <v>10</v>
      </c>
      <c r="H59" s="14" t="s">
        <v>136</v>
      </c>
    </row>
    <row r="60" ht="15.75" customHeight="1">
      <c r="A60" s="35">
        <v>49.0</v>
      </c>
      <c r="B60" s="16"/>
      <c r="C60" s="17" t="s">
        <v>137</v>
      </c>
      <c r="D60" s="17" t="s">
        <v>43</v>
      </c>
      <c r="E60" s="18">
        <v>1.0</v>
      </c>
      <c r="F60" s="19">
        <v>7.0</v>
      </c>
      <c r="G60" s="19">
        <f t="shared" si="9"/>
        <v>7</v>
      </c>
      <c r="H60" s="20" t="s">
        <v>138</v>
      </c>
    </row>
    <row r="61" ht="15.75" customHeight="1">
      <c r="A61" s="36">
        <v>50.0</v>
      </c>
      <c r="B61" s="30"/>
      <c r="C61" s="31" t="s">
        <v>139</v>
      </c>
      <c r="D61" s="31" t="s">
        <v>43</v>
      </c>
      <c r="E61" s="32">
        <v>1.0</v>
      </c>
      <c r="F61" s="24">
        <v>30.0</v>
      </c>
      <c r="G61" s="13">
        <f t="shared" si="9"/>
        <v>30</v>
      </c>
      <c r="H61" s="34" t="s">
        <v>140</v>
      </c>
    </row>
    <row r="62" ht="15.75" customHeight="1"/>
    <row r="63" ht="21.75" customHeight="1">
      <c r="A63" s="37" t="s">
        <v>141</v>
      </c>
      <c r="B63" s="7"/>
      <c r="C63" s="7"/>
      <c r="D63" s="7"/>
      <c r="E63" s="7"/>
      <c r="F63" s="8"/>
      <c r="G63" s="38">
        <f>SUMIF(G4:G61,"&lt;&gt;")</f>
        <v>3476.5</v>
      </c>
      <c r="H63" s="39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A43:H43"/>
    <mergeCell ref="A52:H52"/>
    <mergeCell ref="A56:H56"/>
    <mergeCell ref="A63:F63"/>
    <mergeCell ref="A1:H1"/>
    <mergeCell ref="A2:H2"/>
    <mergeCell ref="A4:H4"/>
    <mergeCell ref="A11:H11"/>
    <mergeCell ref="A19:H19"/>
    <mergeCell ref="A24:H24"/>
    <mergeCell ref="A40:H4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2026-05-02T22:43:03Z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